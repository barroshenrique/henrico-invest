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enrico_Invest" sheetId="1" state="visible" r:id="rId2"/>
    <sheet name="Apoio_Dados" sheetId="2" state="visible" r:id="rId3"/>
  </sheets>
  <definedNames>
    <definedName function="false" hidden="false" name="aporte" vbProcedure="false">Henrico_Invest!$C$14</definedName>
    <definedName function="false" hidden="false" name="dividendos_mensais" vbProcedure="false">Henrico_Invest!$C$18</definedName>
    <definedName function="false" hidden="false" name="lista_perfis" vbProcedure="false">Apoio_Dados!$G$2:$G$4</definedName>
    <definedName function="false" hidden="false" name="patrimonio" vbProcedure="false">Henrico_Invest!$C$17</definedName>
    <definedName function="false" hidden="false" name="perfil_investidor" vbProcedure="false">Henrico_Invest!$C$29</definedName>
    <definedName function="false" hidden="false" name="qtd_anos" vbProcedure="false">Henrico_Invest!$C$15</definedName>
    <definedName function="false" hidden="false" name="rendimento_carteira" vbProcedure="false">Henrico_Invest!$C$10</definedName>
    <definedName function="false" hidden="false" name="salario" vbProcedure="false">Henrico_Invest!$C$9</definedName>
    <definedName function="false" hidden="false" name="sugestao_investimento" vbProcedure="false">Henrico_Invest!$C$11</definedName>
    <definedName function="false" hidden="false" name="tabela_apoio" vbProcedure="false">Apoio_Dados!$A$2:$E$19</definedName>
    <definedName function="false" hidden="false" name="taxa_mensal" vbProcedure="false">Henrico_Invest!$C$16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<sst xmlns="http://schemas.openxmlformats.org/spreadsheetml/2006/main" count="139" uniqueCount="102">
  <si>
    <t xml:space="preserve">HENRICO INVEST  |  SIMULADOR INTELIGENTE DE FUNDOS IMOBILIÁRIOS</t>
  </si>
  <si>
    <t xml:space="preserve">Ferramenta de Projeção Patrimonial, Renda Passiva Mensal e Alocação Estratégica por Perfil de Investidor</t>
  </si>
  <si>
    <t xml:space="preserve">PATRIMÔNIO ACUMULADO</t>
  </si>
  <si>
    <t xml:space="preserve">DIVIDENDO MENSAL ESTIMADO</t>
  </si>
  <si>
    <t xml:space="preserve">SUGESTÃO DE APORTE (30%)</t>
  </si>
  <si>
    <t xml:space="preserve">PERFIL SELECIONADO</t>
  </si>
  <si>
    <t xml:space="preserve">Prazo Selecionado</t>
  </si>
  <si>
    <t xml:space="preserve">Renda Passiva Mensal</t>
  </si>
  <si>
    <t xml:space="preserve">Base: Salário Informado</t>
  </si>
  <si>
    <t xml:space="preserve">Alocação Estratégica Ativa</t>
  </si>
  <si>
    <t xml:space="preserve">1. CONFIGURAÇÕES BASE</t>
  </si>
  <si>
    <t xml:space="preserve">DISTRIBUIÇÃO POR TIPO DE FII</t>
  </si>
  <si>
    <t xml:space="preserve">Salário Mensal do Investidor</t>
  </si>
  <si>
    <t xml:space="preserve">Rendimento Mensal da Carteira (Yield)</t>
  </si>
  <si>
    <t xml:space="preserve">Sugestão de Aporte (30% do Salário)</t>
  </si>
  <si>
    <t xml:space="preserve">2. INVESTIMENTO MENSAL &amp; RETORNO (5 PERGUNTAS)</t>
  </si>
  <si>
    <t xml:space="preserve">1. Quanto investir por mês? (Aporte)</t>
  </si>
  <si>
    <t xml:space="preserve">2. Por quantos anos investir? (Prazo)</t>
  </si>
  <si>
    <t xml:space="preserve">3. Qual a taxa de rendimento mensal? (Total)</t>
  </si>
  <si>
    <t xml:space="preserve">4. Quanto de patrimônio vai acumular? (Total)</t>
  </si>
  <si>
    <t xml:space="preserve">5. Quanto vai receber de dividendos por mês?</t>
  </si>
  <si>
    <t xml:space="preserve">3. CENÁRIOS DE PROJEÇÃO DE LONGO PRAZO</t>
  </si>
  <si>
    <t xml:space="preserve">EVOLUÇÃO DO PATRIMÔNIO NO TEMPO</t>
  </si>
  <si>
    <t xml:space="preserve">Prazo (Anos)</t>
  </si>
  <si>
    <t xml:space="preserve">Cenário de Tempo</t>
  </si>
  <si>
    <t xml:space="preserve">Patrimônio Acumulado</t>
  </si>
  <si>
    <t xml:space="preserve">Dividendo Mensal</t>
  </si>
  <si>
    <t xml:space="preserve">Projeção em 2 Anos</t>
  </si>
  <si>
    <t xml:space="preserve">Projeção em 5 Anos</t>
  </si>
  <si>
    <t xml:space="preserve">Projeção em 10 Anos</t>
  </si>
  <si>
    <t xml:space="preserve">Projeção em 20 Anos</t>
  </si>
  <si>
    <t xml:space="preserve">Projeção em 30 Anos</t>
  </si>
  <si>
    <t xml:space="preserve">4. ALOCAÇÃO ESTRATÉGICA POR PERFIL DE INVESTIDOR</t>
  </si>
  <si>
    <t xml:space="preserve">Perfil de Investidor Selecionado</t>
  </si>
  <si>
    <t xml:space="preserve">Moderado</t>
  </si>
  <si>
    <t xml:space="preserve">Valor Total do Aporte Mensal</t>
  </si>
  <si>
    <t xml:space="preserve">Tipo de FII</t>
  </si>
  <si>
    <t xml:space="preserve">Segmento / Racional</t>
  </si>
  <si>
    <t xml:space="preserve">Percentual (%)</t>
  </si>
  <si>
    <t xml:space="preserve">Valor Alocado (R$)</t>
  </si>
  <si>
    <t xml:space="preserve">PAPEL</t>
  </si>
  <si>
    <t xml:space="preserve">Títulos de Dívida / CRIs</t>
  </si>
  <si>
    <t xml:space="preserve">TIJOLO</t>
  </si>
  <si>
    <t xml:space="preserve">Imóveis Físicos / Renda</t>
  </si>
  <si>
    <t xml:space="preserve">HÍBRIDOS</t>
  </si>
  <si>
    <t xml:space="preserve">Multiestratégia / Misto</t>
  </si>
  <si>
    <t xml:space="preserve">LEGENDA &amp; GUIA DE USO</t>
  </si>
  <si>
    <t xml:space="preserve">FOFs</t>
  </si>
  <si>
    <t xml:space="preserve">Fundos de Fundos Imobiliários</t>
  </si>
  <si>
    <t xml:space="preserve">🟦 Células Azuis Claras: Campos editáveis pelo investidor (Aporte, Prazo, Salário, Perfil).</t>
  </si>
  <si>
    <t xml:space="preserve">DESENVOLVIMENTO</t>
  </si>
  <si>
    <t xml:space="preserve">Obras / Incorporação</t>
  </si>
  <si>
    <t xml:space="preserve">⬜ Células Cinzas: Fórmulas automáticas protegidas (VF, PROCV, Dividendos, Totais).</t>
  </si>
  <si>
    <t xml:space="preserve">HOTELARIAS</t>
  </si>
  <si>
    <t xml:space="preserve">Hotelaria / Hospitalidade</t>
  </si>
  <si>
    <t xml:space="preserve">💡 Dica: Altere o Perfil na célula C29 para ver o gráfico e a tabela mudarem automaticamente!</t>
  </si>
  <si>
    <t xml:space="preserve">Total da Carteira</t>
  </si>
  <si>
    <t xml:space="preserve">Alocação 100%</t>
  </si>
  <si>
    <t xml:space="preserve">CHAVE</t>
  </si>
  <si>
    <t xml:space="preserve">PERFIL</t>
  </si>
  <si>
    <t xml:space="preserve">TIPO DE FII</t>
  </si>
  <si>
    <t xml:space="preserve">PERCENTUAL</t>
  </si>
  <si>
    <t xml:space="preserve">DESCRICAO</t>
  </si>
  <si>
    <t xml:space="preserve">LISTA DE PERFIS</t>
  </si>
  <si>
    <t xml:space="preserve">Conservador-PAPEL</t>
  </si>
  <si>
    <t xml:space="preserve">Conservador</t>
  </si>
  <si>
    <t xml:space="preserve">Títulos de dívida e CRIs de alta liquidez</t>
  </si>
  <si>
    <t xml:space="preserve">Conservador-TIJOLO</t>
  </si>
  <si>
    <t xml:space="preserve">Imóveis físicos consolidados (logística/lajes AAA)</t>
  </si>
  <si>
    <t xml:space="preserve">Conservador-HÍBRIDOS</t>
  </si>
  <si>
    <t xml:space="preserve">Carteira mista equilibrada</t>
  </si>
  <si>
    <t xml:space="preserve">Agressivo</t>
  </si>
  <si>
    <t xml:space="preserve">Conservador-FOFs</t>
  </si>
  <si>
    <t xml:space="preserve">Fundos de fundos com gestão profissional</t>
  </si>
  <si>
    <t xml:space="preserve">Conservador-DESENVOLVIMENTO</t>
  </si>
  <si>
    <t xml:space="preserve">Sem exposição a risco de obras</t>
  </si>
  <si>
    <t xml:space="preserve">Conservador-HOTELARIAS</t>
  </si>
  <si>
    <t xml:space="preserve">Sem exposição a hotelaria</t>
  </si>
  <si>
    <t xml:space="preserve">Moderado-PAPEL</t>
  </si>
  <si>
    <t xml:space="preserve">Equilíbrio entre crédito e imóveis reais</t>
  </si>
  <si>
    <t xml:space="preserve">Moderado-TIJOLO</t>
  </si>
  <si>
    <t xml:space="preserve">Base sólida de tijolo para renda passiva</t>
  </si>
  <si>
    <t xml:space="preserve">Moderado-HÍBRIDOS</t>
  </si>
  <si>
    <t xml:space="preserve">Flexibilidade tática multigestão</t>
  </si>
  <si>
    <t xml:space="preserve">Moderado-FOFs</t>
  </si>
  <si>
    <t xml:space="preserve">Cotas diversificadas com desconto de mercado</t>
  </si>
  <si>
    <t xml:space="preserve">Moderado-DESENVOLVIMENTO</t>
  </si>
  <si>
    <t xml:space="preserve">Busca de valorização com novos projetos</t>
  </si>
  <si>
    <t xml:space="preserve">Moderado-HOTELARIAS</t>
  </si>
  <si>
    <t xml:space="preserve">Exposição ao setor de hospitalidade e lazer</t>
  </si>
  <si>
    <t xml:space="preserve">Agressivo-PAPEL</t>
  </si>
  <si>
    <t xml:space="preserve">Foco em High Yield e retorno acelerado</t>
  </si>
  <si>
    <t xml:space="preserve">Agressivo-TIJOLO</t>
  </si>
  <si>
    <t xml:space="preserve">Alocação mínima em tijolo defensivo</t>
  </si>
  <si>
    <t xml:space="preserve">Agressivo-HÍBRIDOS</t>
  </si>
  <si>
    <t xml:space="preserve">Posições táticas oportunistas</t>
  </si>
  <si>
    <t xml:space="preserve">Agressivo-FOFs</t>
  </si>
  <si>
    <t xml:space="preserve">Arbitragem de cotas descontadas</t>
  </si>
  <si>
    <t xml:space="preserve">Agressivo-DESENVOLVIMENTO</t>
  </si>
  <si>
    <t xml:space="preserve">Alto ganho de capital em incorporação</t>
  </si>
  <si>
    <t xml:space="preserve">Agressivo-HOTELARIAS</t>
  </si>
  <si>
    <t xml:space="preserve">Operações estruturadas de nicho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</si>
</sst>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@"/>
    <numFmt numFmtId="167" formatCode="0.00%"/>
    <numFmt numFmtId="168" formatCode="#,##0"/>
    <numFmt numFmtId="169" formatCode="0.0%"/>
  </numFmts>
  <fonts count="2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Segoe UI"/>
      <family val="0"/>
      <charset val="1"/>
    </font>
    <font>
      <sz val="9"/>
      <color rgb="FF94A3B8"/>
      <name val="Segoe UI"/>
      <family val="0"/>
      <charset val="1"/>
    </font>
    <font>
      <b val="true"/>
      <sz val="8"/>
      <color rgb="FFFFFFFF"/>
      <name val="Segoe UI"/>
      <family val="0"/>
      <charset val="1"/>
    </font>
    <font>
      <b val="true"/>
      <sz val="13"/>
      <color rgb="FF2563EB"/>
      <name val="Segoe UI"/>
      <family val="0"/>
      <charset val="1"/>
    </font>
    <font>
      <b val="true"/>
      <sz val="13"/>
      <color rgb="FF059669"/>
      <name val="Segoe UI"/>
      <family val="0"/>
      <charset val="1"/>
    </font>
    <font>
      <b val="true"/>
      <sz val="13"/>
      <color rgb="FFD97706"/>
      <name val="Segoe UI"/>
      <family val="0"/>
      <charset val="1"/>
    </font>
    <font>
      <b val="true"/>
      <sz val="13"/>
      <color rgb="FF4338CA"/>
      <name val="Segoe UI"/>
      <family val="0"/>
      <charset val="1"/>
    </font>
    <font>
      <b val="true"/>
      <sz val="8"/>
      <color rgb="FF64748B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9"/>
      <color rgb="FF0F172A"/>
      <name val="Segoe UI"/>
      <family val="0"/>
      <charset val="1"/>
    </font>
    <font>
      <b val="true"/>
      <sz val="9"/>
      <color rgb="FF1E3A8A"/>
      <name val="Segoe UI"/>
      <family val="0"/>
      <charset val="1"/>
    </font>
    <font>
      <b val="true"/>
      <sz val="9"/>
      <color rgb="FF0F172A"/>
      <name val="Segoe UI"/>
      <family val="0"/>
      <charset val="1"/>
    </font>
    <font>
      <b val="true"/>
      <sz val="9"/>
      <color rgb="FF2563EB"/>
      <name val="Segoe UI"/>
      <family val="0"/>
      <charset val="1"/>
    </font>
    <font>
      <b val="true"/>
      <sz val="9"/>
      <color rgb="FF059669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10"/>
      <color rgb="FF1E3A8A"/>
      <name val="Segoe UI"/>
      <family val="0"/>
      <charset val="1"/>
    </font>
    <font>
      <sz val="8"/>
      <color rgb="FF1E3A8A"/>
      <name val="Segoe UI"/>
      <family val="0"/>
      <charset val="1"/>
    </font>
    <font>
      <sz val="8"/>
      <color rgb="FF475569"/>
      <name val="Segoe UI"/>
      <family val="0"/>
      <charset val="1"/>
    </font>
    <font>
      <b val="true"/>
      <sz val="8"/>
      <color rgb="FF047857"/>
      <name val="Segoe UI"/>
      <family val="0"/>
      <charset val="1"/>
    </font>
    <font>
      <i val="true"/>
      <sz val="8"/>
      <color rgb="FF64748B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2563EB"/>
        <bgColor rgb="FF4F81BD"/>
      </patternFill>
    </fill>
    <fill>
      <patternFill patternType="solid">
        <fgColor rgb="FF059669"/>
        <bgColor rgb="FF047857"/>
      </patternFill>
    </fill>
    <fill>
      <patternFill patternType="solid">
        <fgColor rgb="FFD97706"/>
        <bgColor rgb="FFF79646"/>
      </patternFill>
    </fill>
    <fill>
      <patternFill patternType="solid">
        <fgColor rgb="FF4338CA"/>
        <bgColor rgb="FF1E3A8A"/>
      </patternFill>
    </fill>
    <fill>
      <patternFill patternType="solid">
        <fgColor rgb="FFF1F5F9"/>
        <bgColor rgb="FFF9F9F9"/>
      </patternFill>
    </fill>
    <fill>
      <patternFill patternType="solid">
        <fgColor rgb="FFE0F2FE"/>
        <bgColor rgb="FFE2E8F0"/>
      </patternFill>
    </fill>
    <fill>
      <patternFill patternType="solid">
        <fgColor rgb="FF334155"/>
        <bgColor rgb="FF475569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D1FAE5"/>
        <bgColor rgb="FFE0F2F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94A3B8"/>
      </top>
      <bottom style="double">
        <color rgb="FF0F17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D9D9D9"/>
      <rgbColor rgb="FF878787"/>
      <rgbColor rgb="FF9999FF"/>
      <rgbColor rgb="FFC0504D"/>
      <rgbColor rgb="FFF9F9F9"/>
      <rgbColor rgb="FFE0F2FE"/>
      <rgbColor rgb="FF660066"/>
      <rgbColor rgb="FFFF8080"/>
      <rgbColor rgb="FF4338CA"/>
      <rgbColor rgb="FFCBD5E1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F1F5F9"/>
      <rgbColor rgb="FFD1FAE5"/>
      <rgbColor rgb="FFF8FAFC"/>
      <rgbColor rgb="FF99CCFF"/>
      <rgbColor rgb="FFFF99CC"/>
      <rgbColor rgb="FFCC99FF"/>
      <rgbColor rgb="FFE2E8F0"/>
      <rgbColor rgb="FF2563EB"/>
      <rgbColor rgb="FF4BACC6"/>
      <rgbColor rgb="FF9BBB59"/>
      <rgbColor rgb="FFFFCC00"/>
      <rgbColor rgb="FFF79646"/>
      <rgbColor rgb="FFD97706"/>
      <rgbColor rgb="FF64748B"/>
      <rgbColor rgb="FF94A3B8"/>
      <rgbColor rgb="FF475569"/>
      <rgbColor rgb="FF4F81BD"/>
      <rgbColor rgb="FF0F172A"/>
      <rgbColor rgb="FF334155"/>
      <rgbColor rgb="FF993300"/>
      <rgbColor rgb="FF8064A2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Alocação Sugerida por Tipo de FII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Henrico_Invest!C31</c:f>
              <c:strCache>
                <c:ptCount val="1"/>
                <c:pt idx="0">
                  <c:v>Percentual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Henrico_Invest!$A$32:$A$37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Henrico_Invest!$C$32:$C$37</c:f>
              <c:numCache>
                <c:formatCode>General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Patrimônio Acumulado por Prazo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Henrico_Invest!C21</c:f>
              <c:strCache>
                <c:ptCount val="1"/>
                <c:pt idx="0">
                  <c:v>Patrimônio Acumulado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Henrico_Invest!$B$22:$B$26</c:f>
              <c:strCache>
                <c:ptCount val="5"/>
                <c:pt idx="0">
                  <c:v>Projeção em 2 Anos</c:v>
                </c:pt>
                <c:pt idx="1">
                  <c:v>Projeção em 5 Anos</c:v>
                </c:pt>
                <c:pt idx="2">
                  <c:v>Projeção em 10 Anos</c:v>
                </c:pt>
                <c:pt idx="3">
                  <c:v>Projeção em 20 Anos</c:v>
                </c:pt>
                <c:pt idx="4">
                  <c:v>Projeção em 30 Anos</c:v>
                </c:pt>
              </c:strCache>
            </c:strRef>
          </c:cat>
          <c:val>
            <c:numRef>
              <c:f>Henrico_Invest!$C$22:$C$26</c:f>
              <c:numCache>
                <c:formatCode>General</c:formatCode>
                <c:ptCount val="5"/>
                <c:pt idx="0">
                  <c:v>5445.52545952903</c:v>
                </c:pt>
                <c:pt idx="1">
                  <c:v>16755.3827996975</c:v>
                </c:pt>
                <c:pt idx="2">
                  <c:v>48656.8425060342</c:v>
                </c:pt>
                <c:pt idx="3">
                  <c:v>225039.680019415</c:v>
                </c:pt>
                <c:pt idx="4">
                  <c:v>864433.931000934</c:v>
                </c:pt>
              </c:numCache>
            </c:numRef>
          </c:val>
        </c:ser>
        <c:gapWidth val="150"/>
        <c:overlap val="0"/>
        <c:axId val="78826253"/>
        <c:axId val="93048976"/>
      </c:barChart>
      <c:catAx>
        <c:axId val="788262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Prazo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48976"/>
        <c:crosses val="autoZero"/>
        <c:auto val="1"/>
        <c:lblAlgn val="ctr"/>
        <c:lblOffset val="100"/>
        <c:noMultiLvlLbl val="0"/>
      </c:catAx>
      <c:valAx>
        <c:axId val="93048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Patrimônio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262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8</xdr:row>
      <xdr:rowOff>0</xdr:rowOff>
    </xdr:from>
    <xdr:to>
      <xdr:col>11</xdr:col>
      <xdr:colOff>181800</xdr:colOff>
      <xdr:row>20</xdr:row>
      <xdr:rowOff>51840</xdr:rowOff>
    </xdr:to>
    <xdr:graphicFrame>
      <xdr:nvGraphicFramePr>
        <xdr:cNvPr id="0" name="Chart 1"/>
        <xdr:cNvGraphicFramePr/>
      </xdr:nvGraphicFramePr>
      <xdr:xfrm>
        <a:off x="6484680" y="18003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11</xdr:col>
      <xdr:colOff>181800</xdr:colOff>
      <xdr:row>31</xdr:row>
      <xdr:rowOff>156600</xdr:rowOff>
    </xdr:to>
    <xdr:graphicFrame>
      <xdr:nvGraphicFramePr>
        <xdr:cNvPr id="1" name="Chart 2"/>
        <xdr:cNvGraphicFramePr/>
      </xdr:nvGraphicFramePr>
      <xdr:xfrm>
        <a:off x="6484680" y="44481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4"/>
    <col collapsed="false" customWidth="true" hidden="false" outlineLevel="0" max="7" min="6" style="0" width="15"/>
    <col collapsed="false" customWidth="true" hidden="false" outlineLevel="0" max="8" min="8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15.7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</row>
    <row r="5" customFormat="false" ht="24" hidden="false" customHeight="true" outlineLevel="0" collapsed="false">
      <c r="A5" s="7" t="n">
        <f aca="false">C17</f>
        <v>16755.3827996975</v>
      </c>
      <c r="B5" s="7"/>
      <c r="C5" s="8" t="n">
        <f aca="false">C18</f>
        <v>100.532296798185</v>
      </c>
      <c r="D5" s="8"/>
      <c r="E5" s="9" t="n">
        <f aca="false">sugestao_investimento</f>
        <v>600</v>
      </c>
      <c r="F5" s="9"/>
      <c r="G5" s="10" t="str">
        <f aca="false">C29</f>
        <v>Moderado</v>
      </c>
      <c r="H5" s="10"/>
    </row>
    <row r="6" customFormat="false" ht="15" hidden="false" customHeight="true" outlineLevel="0" collapsed="false">
      <c r="A6" s="11" t="s">
        <v>6</v>
      </c>
      <c r="B6" s="11"/>
      <c r="C6" s="11" t="s">
        <v>7</v>
      </c>
      <c r="D6" s="11"/>
      <c r="E6" s="11" t="s">
        <v>8</v>
      </c>
      <c r="F6" s="11"/>
      <c r="G6" s="11" t="s">
        <v>9</v>
      </c>
      <c r="H6" s="11"/>
    </row>
    <row r="7" customFormat="false" ht="12" hidden="false" customHeight="true" outlineLevel="0" collapsed="false"/>
    <row r="8" customFormat="false" ht="19.5" hidden="false" customHeight="true" outlineLevel="0" collapsed="false">
      <c r="A8" s="12" t="s">
        <v>10</v>
      </c>
      <c r="B8" s="12"/>
      <c r="C8" s="12"/>
      <c r="F8" s="13" t="s">
        <v>11</v>
      </c>
      <c r="G8" s="13"/>
      <c r="H8" s="13"/>
    </row>
    <row r="9" customFormat="false" ht="18.75" hidden="false" customHeight="true" outlineLevel="0" collapsed="false">
      <c r="A9" s="14" t="s">
        <v>12</v>
      </c>
      <c r="B9" s="14"/>
      <c r="C9" s="15" t="n">
        <v>2000</v>
      </c>
    </row>
    <row r="10" customFormat="false" ht="18.75" hidden="false" customHeight="true" outlineLevel="0" collapsed="false">
      <c r="A10" s="14" t="s">
        <v>13</v>
      </c>
      <c r="B10" s="14"/>
      <c r="C10" s="16" t="n">
        <v>0.006</v>
      </c>
    </row>
    <row r="11" customFormat="false" ht="18.75" hidden="false" customHeight="true" outlineLevel="0" collapsed="false">
      <c r="A11" s="17" t="s">
        <v>14</v>
      </c>
      <c r="B11" s="17"/>
      <c r="C11" s="18" t="n">
        <f aca="false">salario*0.3</f>
        <v>600</v>
      </c>
    </row>
    <row r="12" customFormat="false" ht="9.75" hidden="false" customHeight="true" outlineLevel="0" collapsed="false"/>
    <row r="13" customFormat="false" ht="19.5" hidden="false" customHeight="true" outlineLevel="0" collapsed="false">
      <c r="A13" s="12" t="s">
        <v>15</v>
      </c>
      <c r="B13" s="12"/>
      <c r="C13" s="12"/>
    </row>
    <row r="14" customFormat="false" ht="18.75" hidden="false" customHeight="true" outlineLevel="0" collapsed="false">
      <c r="A14" s="14" t="s">
        <v>16</v>
      </c>
      <c r="B14" s="14"/>
      <c r="C14" s="15" t="n">
        <v>200</v>
      </c>
    </row>
    <row r="15" customFormat="false" ht="18.75" hidden="false" customHeight="true" outlineLevel="0" collapsed="false">
      <c r="A15" s="14" t="s">
        <v>17</v>
      </c>
      <c r="B15" s="14"/>
      <c r="C15" s="19" t="n">
        <v>5</v>
      </c>
    </row>
    <row r="16" customFormat="false" ht="18.75" hidden="false" customHeight="true" outlineLevel="0" collapsed="false">
      <c r="A16" s="14" t="s">
        <v>18</v>
      </c>
      <c r="B16" s="14"/>
      <c r="C16" s="16" t="n">
        <v>0.01079</v>
      </c>
    </row>
    <row r="17" customFormat="false" ht="18.75" hidden="false" customHeight="true" outlineLevel="0" collapsed="false">
      <c r="A17" s="17" t="s">
        <v>19</v>
      </c>
      <c r="B17" s="17"/>
      <c r="C17" s="20" t="n">
        <f aca="false">FV(taxa_mensal,qtd_anos*12,-aporte,0,0)</f>
        <v>16755.3827996975</v>
      </c>
    </row>
    <row r="18" customFormat="false" ht="18.75" hidden="false" customHeight="true" outlineLevel="0" collapsed="false">
      <c r="A18" s="17" t="s">
        <v>20</v>
      </c>
      <c r="B18" s="17"/>
      <c r="C18" s="21" t="n">
        <f aca="false">patrimonio*rendimento_carteira</f>
        <v>100.532296798185</v>
      </c>
    </row>
    <row r="19" customFormat="false" ht="9.75" hidden="false" customHeight="true" outlineLevel="0" collapsed="false"/>
    <row r="20" customFormat="false" ht="19.5" hidden="false" customHeight="true" outlineLevel="0" collapsed="false">
      <c r="A20" s="12" t="s">
        <v>21</v>
      </c>
      <c r="B20" s="12"/>
      <c r="C20" s="12"/>
      <c r="D20" s="12"/>
      <c r="F20" s="13" t="s">
        <v>22</v>
      </c>
      <c r="G20" s="13"/>
      <c r="H20" s="13"/>
    </row>
    <row r="21" customFormat="false" ht="18.75" hidden="false" customHeight="true" outlineLevel="0" collapsed="false">
      <c r="A21" s="22" t="s">
        <v>23</v>
      </c>
      <c r="B21" s="22" t="s">
        <v>24</v>
      </c>
      <c r="C21" s="22" t="s">
        <v>25</v>
      </c>
      <c r="D21" s="22" t="s">
        <v>26</v>
      </c>
    </row>
    <row r="22" customFormat="false" ht="18.75" hidden="false" customHeight="true" outlineLevel="0" collapsed="false">
      <c r="A22" s="23" t="n">
        <v>2</v>
      </c>
      <c r="B22" s="24" t="s">
        <v>27</v>
      </c>
      <c r="C22" s="25" t="n">
        <f aca="false">FV($C$16,$A22*12,-$C$14,0,0)</f>
        <v>5445.52545952903</v>
      </c>
      <c r="D22" s="25" t="n">
        <f aca="false">C22*rendimento_carteira</f>
        <v>32.6731527571742</v>
      </c>
    </row>
    <row r="23" customFormat="false" ht="18.75" hidden="false" customHeight="true" outlineLevel="0" collapsed="false">
      <c r="A23" s="26" t="n">
        <v>5</v>
      </c>
      <c r="B23" s="27" t="s">
        <v>28</v>
      </c>
      <c r="C23" s="28" t="n">
        <f aca="false">FV($C$16,$A23*12,-$C$14,0,0)</f>
        <v>16755.3827996975</v>
      </c>
      <c r="D23" s="28" t="n">
        <f aca="false">C23*rendimento_carteira</f>
        <v>100.532296798185</v>
      </c>
    </row>
    <row r="24" customFormat="false" ht="18.75" hidden="false" customHeight="true" outlineLevel="0" collapsed="false">
      <c r="A24" s="23" t="n">
        <v>10</v>
      </c>
      <c r="B24" s="24" t="s">
        <v>29</v>
      </c>
      <c r="C24" s="25" t="n">
        <f aca="false">FV($C$16,$A24*12,-$C$14,0,0)</f>
        <v>48656.8425060342</v>
      </c>
      <c r="D24" s="25" t="n">
        <f aca="false">C24*rendimento_carteira</f>
        <v>291.941055036205</v>
      </c>
    </row>
    <row r="25" customFormat="false" ht="18.75" hidden="false" customHeight="true" outlineLevel="0" collapsed="false">
      <c r="A25" s="26" t="n">
        <v>20</v>
      </c>
      <c r="B25" s="27" t="s">
        <v>30</v>
      </c>
      <c r="C25" s="28" t="n">
        <f aca="false">FV($C$16,$A25*12,-$C$14,0,0)</f>
        <v>225039.680019415</v>
      </c>
      <c r="D25" s="28" t="n">
        <f aca="false">C25*rendimento_carteira</f>
        <v>1350.23808011649</v>
      </c>
    </row>
    <row r="26" customFormat="false" ht="18.75" hidden="false" customHeight="true" outlineLevel="0" collapsed="false">
      <c r="A26" s="23" t="n">
        <v>30</v>
      </c>
      <c r="B26" s="24" t="s">
        <v>31</v>
      </c>
      <c r="C26" s="25" t="n">
        <f aca="false">FV($C$16,$A26*12,-$C$14,0,0)</f>
        <v>864433.931000934</v>
      </c>
      <c r="D26" s="25" t="n">
        <f aca="false">C26*rendimento_carteira</f>
        <v>5186.60358600561</v>
      </c>
    </row>
    <row r="27" customFormat="false" ht="9.75" hidden="false" customHeight="true" outlineLevel="0" collapsed="false"/>
    <row r="28" customFormat="false" ht="19.5" hidden="false" customHeight="true" outlineLevel="0" collapsed="false">
      <c r="A28" s="12" t="s">
        <v>32</v>
      </c>
      <c r="B28" s="12"/>
      <c r="C28" s="12"/>
      <c r="D28" s="12"/>
    </row>
    <row r="29" customFormat="false" ht="21" hidden="false" customHeight="true" outlineLevel="0" collapsed="false">
      <c r="A29" s="29" t="s">
        <v>33</v>
      </c>
      <c r="B29" s="29"/>
      <c r="C29" s="30" t="s">
        <v>34</v>
      </c>
      <c r="D29" s="30"/>
    </row>
    <row r="30" customFormat="false" ht="18.75" hidden="false" customHeight="true" outlineLevel="0" collapsed="false">
      <c r="A30" s="31" t="s">
        <v>35</v>
      </c>
      <c r="B30" s="31"/>
      <c r="C30" s="18" t="n">
        <f aca="false">aporte</f>
        <v>200</v>
      </c>
      <c r="D30" s="18"/>
    </row>
    <row r="31" customFormat="false" ht="18.75" hidden="false" customHeight="true" outlineLevel="0" collapsed="false">
      <c r="A31" s="22" t="s">
        <v>36</v>
      </c>
      <c r="B31" s="22" t="s">
        <v>37</v>
      </c>
      <c r="C31" s="22" t="s">
        <v>38</v>
      </c>
      <c r="D31" s="22" t="s">
        <v>39</v>
      </c>
    </row>
    <row r="32" customFormat="false" ht="18.75" hidden="false" customHeight="true" outlineLevel="0" collapsed="false">
      <c r="A32" s="32" t="s">
        <v>40</v>
      </c>
      <c r="B32" s="24" t="s">
        <v>41</v>
      </c>
      <c r="C32" s="33" t="n">
        <f aca="false">VLOOKUP($C$29&amp;"-"&amp;A32,Apoio_Dados!$A$2:$E$19,4,FALSE())</f>
        <v>0.32</v>
      </c>
      <c r="D32" s="25" t="n">
        <f aca="false">C32*$C$30</f>
        <v>64</v>
      </c>
    </row>
    <row r="33" customFormat="false" ht="18.75" hidden="false" customHeight="true" outlineLevel="0" collapsed="false">
      <c r="A33" s="34" t="s">
        <v>42</v>
      </c>
      <c r="B33" s="27" t="s">
        <v>43</v>
      </c>
      <c r="C33" s="35" t="n">
        <f aca="false">VLOOKUP($C$29&amp;"-"&amp;A33,Apoio_Dados!$A$2:$E$19,4,FALSE())</f>
        <v>0.35</v>
      </c>
      <c r="D33" s="28" t="n">
        <f aca="false">C33*$C$30</f>
        <v>70</v>
      </c>
    </row>
    <row r="34" customFormat="false" ht="16.5" hidden="false" customHeight="true" outlineLevel="0" collapsed="false">
      <c r="A34" s="32" t="s">
        <v>44</v>
      </c>
      <c r="B34" s="24" t="s">
        <v>45</v>
      </c>
      <c r="C34" s="33" t="n">
        <f aca="false">VLOOKUP($C$29&amp;"-"&amp;A34,Apoio_Dados!$A$2:$E$19,4,FALSE())</f>
        <v>0.08</v>
      </c>
      <c r="D34" s="25" t="n">
        <f aca="false">C34*$C$30</f>
        <v>16</v>
      </c>
      <c r="F34" s="22" t="s">
        <v>46</v>
      </c>
      <c r="G34" s="22"/>
      <c r="H34" s="22"/>
    </row>
    <row r="35" customFormat="false" ht="16.5" hidden="false" customHeight="true" outlineLevel="0" collapsed="false">
      <c r="A35" s="34" t="s">
        <v>47</v>
      </c>
      <c r="B35" s="27" t="s">
        <v>48</v>
      </c>
      <c r="C35" s="35" t="n">
        <f aca="false">VLOOKUP($C$29&amp;"-"&amp;A35,Apoio_Dados!$A$2:$E$19,4,FALSE())</f>
        <v>0.05</v>
      </c>
      <c r="D35" s="28" t="n">
        <f aca="false">C35*$C$30</f>
        <v>10</v>
      </c>
      <c r="F35" s="36" t="s">
        <v>49</v>
      </c>
      <c r="G35" s="36"/>
      <c r="H35" s="36"/>
    </row>
    <row r="36" customFormat="false" ht="16.5" hidden="false" customHeight="true" outlineLevel="0" collapsed="false">
      <c r="A36" s="32" t="s">
        <v>50</v>
      </c>
      <c r="B36" s="24" t="s">
        <v>51</v>
      </c>
      <c r="C36" s="33" t="n">
        <f aca="false">VLOOKUP($C$29&amp;"-"&amp;A36,Apoio_Dados!$A$2:$E$19,4,FALSE())</f>
        <v>0.1</v>
      </c>
      <c r="D36" s="25" t="n">
        <f aca="false">C36*$C$30</f>
        <v>20</v>
      </c>
      <c r="F36" s="37" t="s">
        <v>52</v>
      </c>
      <c r="G36" s="37"/>
      <c r="H36" s="37"/>
    </row>
    <row r="37" customFormat="false" ht="16.5" hidden="false" customHeight="true" outlineLevel="0" collapsed="false">
      <c r="A37" s="34" t="s">
        <v>53</v>
      </c>
      <c r="B37" s="27" t="s">
        <v>54</v>
      </c>
      <c r="C37" s="35" t="n">
        <f aca="false">VLOOKUP($C$29&amp;"-"&amp;A37,Apoio_Dados!$A$2:$E$19,4,FALSE())</f>
        <v>0.1</v>
      </c>
      <c r="D37" s="28" t="n">
        <f aca="false">C37*$C$30</f>
        <v>20</v>
      </c>
      <c r="F37" s="38" t="s">
        <v>55</v>
      </c>
      <c r="G37" s="38"/>
      <c r="H37" s="38"/>
    </row>
    <row r="38" customFormat="false" ht="19.5" hidden="false" customHeight="true" outlineLevel="0" collapsed="false">
      <c r="A38" s="39" t="s">
        <v>56</v>
      </c>
      <c r="B38" s="40" t="s">
        <v>57</v>
      </c>
      <c r="C38" s="41" t="n">
        <f aca="false">SUM(C32:C37)</f>
        <v>1</v>
      </c>
      <c r="D38" s="42" t="n">
        <f aca="false">SUM(D32:D37)</f>
        <v>200</v>
      </c>
    </row>
  </sheetData>
  <mergeCells count="36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C8"/>
    <mergeCell ref="F8:H8"/>
    <mergeCell ref="A9:B9"/>
    <mergeCell ref="A10:B10"/>
    <mergeCell ref="A11:B11"/>
    <mergeCell ref="A13:C13"/>
    <mergeCell ref="A14:B14"/>
    <mergeCell ref="A15:B15"/>
    <mergeCell ref="A16:B16"/>
    <mergeCell ref="A17:B17"/>
    <mergeCell ref="A18:B18"/>
    <mergeCell ref="A20:D20"/>
    <mergeCell ref="F20:H20"/>
    <mergeCell ref="A28:D28"/>
    <mergeCell ref="A29:B29"/>
    <mergeCell ref="C29:D29"/>
    <mergeCell ref="A30:B30"/>
    <mergeCell ref="C30:D30"/>
    <mergeCell ref="F34:H34"/>
    <mergeCell ref="F35:H35"/>
    <mergeCell ref="F36:H36"/>
    <mergeCell ref="F37:H37"/>
  </mergeCells>
  <dataValidations count="1">
    <dataValidation allowBlank="false" error="Escolha um perfil válido da lista" errorStyle="stop" errorTitle="Perfil Inválido" operator="between" prompt="Selecione o perfil desejado" promptTitle="Perfil de Investidor" showDropDown="false" showErrorMessage="false" showInputMessage="false" sqref="C29" type="list">
      <formula1>"Conservador,Moderado,Agressivo"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55"/>
    <col collapsed="false" customWidth="true" hidden="false" outlineLevel="0" max="6" min="6" style="0" width="4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43" t="s">
        <v>58</v>
      </c>
      <c r="B1" s="44" t="s">
        <v>59</v>
      </c>
      <c r="C1" s="44" t="s">
        <v>60</v>
      </c>
      <c r="D1" s="43" t="s">
        <v>61</v>
      </c>
      <c r="E1" s="44" t="s">
        <v>62</v>
      </c>
      <c r="G1" s="43" t="s">
        <v>63</v>
      </c>
    </row>
    <row r="2" customFormat="false" ht="15" hidden="false" customHeight="false" outlineLevel="0" collapsed="false">
      <c r="A2" s="45" t="s">
        <v>64</v>
      </c>
      <c r="B2" s="31" t="s">
        <v>65</v>
      </c>
      <c r="C2" s="31" t="s">
        <v>40</v>
      </c>
      <c r="D2" s="46" t="n">
        <v>0.3</v>
      </c>
      <c r="E2" s="31" t="s">
        <v>66</v>
      </c>
      <c r="G2" s="45" t="s">
        <v>65</v>
      </c>
    </row>
    <row r="3" customFormat="false" ht="15" hidden="false" customHeight="false" outlineLevel="0" collapsed="false">
      <c r="A3" s="47" t="s">
        <v>67</v>
      </c>
      <c r="B3" s="27" t="s">
        <v>65</v>
      </c>
      <c r="C3" s="27" t="s">
        <v>42</v>
      </c>
      <c r="D3" s="48" t="n">
        <v>0.5</v>
      </c>
      <c r="E3" s="27" t="s">
        <v>68</v>
      </c>
      <c r="G3" s="45" t="s">
        <v>34</v>
      </c>
    </row>
    <row r="4" customFormat="false" ht="15" hidden="false" customHeight="false" outlineLevel="0" collapsed="false">
      <c r="A4" s="45" t="s">
        <v>69</v>
      </c>
      <c r="B4" s="31" t="s">
        <v>65</v>
      </c>
      <c r="C4" s="31" t="s">
        <v>44</v>
      </c>
      <c r="D4" s="46" t="n">
        <v>0.1</v>
      </c>
      <c r="E4" s="31" t="s">
        <v>70</v>
      </c>
      <c r="G4" s="45" t="s">
        <v>71</v>
      </c>
    </row>
    <row r="5" customFormat="false" ht="15" hidden="false" customHeight="false" outlineLevel="0" collapsed="false">
      <c r="A5" s="47" t="s">
        <v>72</v>
      </c>
      <c r="B5" s="27" t="s">
        <v>65</v>
      </c>
      <c r="C5" s="27" t="s">
        <v>47</v>
      </c>
      <c r="D5" s="48" t="n">
        <v>0.1</v>
      </c>
      <c r="E5" s="27" t="s">
        <v>73</v>
      </c>
    </row>
    <row r="6" customFormat="false" ht="15" hidden="false" customHeight="false" outlineLevel="0" collapsed="false">
      <c r="A6" s="45" t="s">
        <v>74</v>
      </c>
      <c r="B6" s="31" t="s">
        <v>65</v>
      </c>
      <c r="C6" s="31" t="s">
        <v>50</v>
      </c>
      <c r="D6" s="46" t="n">
        <v>0</v>
      </c>
      <c r="E6" s="31" t="s">
        <v>75</v>
      </c>
    </row>
    <row r="7" customFormat="false" ht="15" hidden="false" customHeight="false" outlineLevel="0" collapsed="false">
      <c r="A7" s="47" t="s">
        <v>76</v>
      </c>
      <c r="B7" s="27" t="s">
        <v>65</v>
      </c>
      <c r="C7" s="27" t="s">
        <v>53</v>
      </c>
      <c r="D7" s="48" t="n">
        <v>0</v>
      </c>
      <c r="E7" s="27" t="s">
        <v>77</v>
      </c>
    </row>
    <row r="8" customFormat="false" ht="15" hidden="false" customHeight="false" outlineLevel="0" collapsed="false">
      <c r="A8" s="45" t="s">
        <v>78</v>
      </c>
      <c r="B8" s="31" t="s">
        <v>34</v>
      </c>
      <c r="C8" s="31" t="s">
        <v>40</v>
      </c>
      <c r="D8" s="46" t="n">
        <v>0.32</v>
      </c>
      <c r="E8" s="31" t="s">
        <v>79</v>
      </c>
    </row>
    <row r="9" customFormat="false" ht="15" hidden="false" customHeight="false" outlineLevel="0" collapsed="false">
      <c r="A9" s="47" t="s">
        <v>80</v>
      </c>
      <c r="B9" s="27" t="s">
        <v>34</v>
      </c>
      <c r="C9" s="27" t="s">
        <v>42</v>
      </c>
      <c r="D9" s="48" t="n">
        <v>0.35</v>
      </c>
      <c r="E9" s="27" t="s">
        <v>81</v>
      </c>
    </row>
    <row r="10" customFormat="false" ht="15" hidden="false" customHeight="false" outlineLevel="0" collapsed="false">
      <c r="A10" s="45" t="s">
        <v>82</v>
      </c>
      <c r="B10" s="31" t="s">
        <v>34</v>
      </c>
      <c r="C10" s="31" t="s">
        <v>44</v>
      </c>
      <c r="D10" s="46" t="n">
        <v>0.08</v>
      </c>
      <c r="E10" s="31" t="s">
        <v>83</v>
      </c>
    </row>
    <row r="11" customFormat="false" ht="15" hidden="false" customHeight="false" outlineLevel="0" collapsed="false">
      <c r="A11" s="47" t="s">
        <v>84</v>
      </c>
      <c r="B11" s="27" t="s">
        <v>34</v>
      </c>
      <c r="C11" s="27" t="s">
        <v>47</v>
      </c>
      <c r="D11" s="48" t="n">
        <v>0.05</v>
      </c>
      <c r="E11" s="27" t="s">
        <v>85</v>
      </c>
    </row>
    <row r="12" customFormat="false" ht="15" hidden="false" customHeight="false" outlineLevel="0" collapsed="false">
      <c r="A12" s="45" t="s">
        <v>86</v>
      </c>
      <c r="B12" s="31" t="s">
        <v>34</v>
      </c>
      <c r="C12" s="31" t="s">
        <v>50</v>
      </c>
      <c r="D12" s="46" t="n">
        <v>0.1</v>
      </c>
      <c r="E12" s="31" t="s">
        <v>87</v>
      </c>
    </row>
    <row r="13" customFormat="false" ht="15" hidden="false" customHeight="false" outlineLevel="0" collapsed="false">
      <c r="A13" s="47" t="s">
        <v>88</v>
      </c>
      <c r="B13" s="27" t="s">
        <v>34</v>
      </c>
      <c r="C13" s="27" t="s">
        <v>53</v>
      </c>
      <c r="D13" s="48" t="n">
        <v>0.1</v>
      </c>
      <c r="E13" s="27" t="s">
        <v>89</v>
      </c>
    </row>
    <row r="14" customFormat="false" ht="15" hidden="false" customHeight="false" outlineLevel="0" collapsed="false">
      <c r="A14" s="45" t="s">
        <v>90</v>
      </c>
      <c r="B14" s="31" t="s">
        <v>71</v>
      </c>
      <c r="C14" s="31" t="s">
        <v>40</v>
      </c>
      <c r="D14" s="46" t="n">
        <v>0.5</v>
      </c>
      <c r="E14" s="31" t="s">
        <v>91</v>
      </c>
    </row>
    <row r="15" customFormat="false" ht="15" hidden="false" customHeight="false" outlineLevel="0" collapsed="false">
      <c r="A15" s="47" t="s">
        <v>92</v>
      </c>
      <c r="B15" s="27" t="s">
        <v>71</v>
      </c>
      <c r="C15" s="27" t="s">
        <v>42</v>
      </c>
      <c r="D15" s="48" t="n">
        <v>0.1</v>
      </c>
      <c r="E15" s="27" t="s">
        <v>93</v>
      </c>
    </row>
    <row r="16" customFormat="false" ht="15" hidden="false" customHeight="false" outlineLevel="0" collapsed="false">
      <c r="A16" s="45" t="s">
        <v>94</v>
      </c>
      <c r="B16" s="31" t="s">
        <v>71</v>
      </c>
      <c r="C16" s="31" t="s">
        <v>44</v>
      </c>
      <c r="D16" s="46" t="n">
        <v>0.05</v>
      </c>
      <c r="E16" s="31" t="s">
        <v>95</v>
      </c>
    </row>
    <row r="17" customFormat="false" ht="15" hidden="false" customHeight="false" outlineLevel="0" collapsed="false">
      <c r="A17" s="47" t="s">
        <v>96</v>
      </c>
      <c r="B17" s="27" t="s">
        <v>71</v>
      </c>
      <c r="C17" s="27" t="s">
        <v>47</v>
      </c>
      <c r="D17" s="48" t="n">
        <v>0.05</v>
      </c>
      <c r="E17" s="27" t="s">
        <v>97</v>
      </c>
    </row>
    <row r="18" customFormat="false" ht="15" hidden="false" customHeight="false" outlineLevel="0" collapsed="false">
      <c r="A18" s="45" t="s">
        <v>98</v>
      </c>
      <c r="B18" s="31" t="s">
        <v>71</v>
      </c>
      <c r="C18" s="31" t="s">
        <v>50</v>
      </c>
      <c r="D18" s="46" t="n">
        <v>0.2</v>
      </c>
      <c r="E18" s="31" t="s">
        <v>99</v>
      </c>
    </row>
    <row r="19" customFormat="false" ht="15" hidden="false" customHeight="false" outlineLevel="0" collapsed="false">
      <c r="A19" s="47" t="s">
        <v>100</v>
      </c>
      <c r="B19" s="27" t="s">
        <v>71</v>
      </c>
      <c r="C19" s="27" t="s">
        <v>53</v>
      </c>
      <c r="D19" s="48" t="n">
        <v>0.1</v>
      </c>
      <c r="E19" s="27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2026-10-09T00:52:33Z</dcterms:created>
  <dc:creator>openpyxl</dc:creator>
  <dc:description/>
  <dc:language>en-US</dc:language>
  <cp:lastModifiedBy/>
  <dcterms:modified xsi:type="dcterms:W3CDTF">2026-10-09T00:52:33Z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